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etric definitions" sheetId="2" state="visible" r:id="rId2"/>
    <sheet xmlns:r="http://schemas.openxmlformats.org/officeDocument/2006/relationships" name="KPI by airport" sheetId="3" state="visible" r:id="rId3"/>
    <sheet xmlns:r="http://schemas.openxmlformats.org/officeDocument/2006/relationships" name="Cause breakdown 2026" sheetId="4" state="visible" r:id="rId4"/>
    <sheet xmlns:r="http://schemas.openxmlformats.org/officeDocument/2006/relationships" name="Monthly se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FF242021"/>
      <sz val="16"/>
    </font>
    <font>
      <name val="Calibri"/>
      <b val="1"/>
      <color rgb="FF242021"/>
      <sz val="10"/>
    </font>
    <font>
      <name val="Calibri"/>
      <color rgb="FF404040"/>
      <sz val="10"/>
    </font>
    <font>
      <name val="Calibri"/>
      <color rgb="FF676060"/>
      <sz val="9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42021"/>
      </patternFill>
    </fill>
    <fill>
      <patternFill patternType="solid">
        <fgColor rgb="FFB7CDC2"/>
      </patternFill>
    </fill>
  </fills>
  <borders count="2">
    <border>
      <left/>
      <right/>
      <top/>
      <bottom/>
      <diagonal/>
    </border>
    <border>
      <bottom style="thin">
        <color rgb="FFD8D8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top"/>
    </xf>
    <xf numFmtId="0" fontId="5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3" fillId="0" borderId="1" pivotButton="0" quotePrefix="0" xfId="0"/>
    <xf numFmtId="0" fontId="2" fillId="0" borderId="1" pivotButton="0" quotePrefix="0" xfId="0"/>
    <xf numFmtId="2" fontId="2" fillId="3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0" fontId="5" fillId="2" borderId="0" pivotButton="0" quotePrefix="0" xfId="0"/>
    <xf numFmtId="164" fontId="2" fillId="3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Jan-Jul, minutes per arrival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by airport'!J4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by airport'!$B$5:$B$14</f>
            </numRef>
          </cat>
          <val>
            <numRef>
              <f>'KPI by airport'!$J$5:$J$14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Minutes per arrival, monthly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series'!B3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series'!$A$4:$A$94</f>
            </numRef>
          </cat>
          <val>
            <numRef>
              <f>'Monthly series'!$B$4:$B$94</f>
            </numRef>
          </val>
        </ser>
        <ser>
          <idx val="1"/>
          <order val="1"/>
          <tx>
            <strRef>
              <f>'Monthly series'!C3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series'!$A$4:$A$94</f>
            </numRef>
          </cat>
          <val>
            <numRef>
              <f>'Monthly series'!$C$4:$C$94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93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Arrival ATFM delay at Amsterdam Schiphol, against nine comparable European hubs</t>
        </is>
      </c>
    </row>
    <row r="2">
      <c r="A2" t="inlineStr"/>
    </row>
    <row r="3">
      <c r="A3" s="2" t="inlineStr">
        <is>
          <t>Source</t>
        </is>
      </c>
    </row>
    <row r="4">
      <c r="A4" s="3" t="inlineStr">
        <is>
          <t>EUROCONTROL Performance Review Unit - Airport Arrival ATFM Delay dataset (APT-DLY).</t>
        </is>
      </c>
    </row>
    <row r="5">
      <c r="A5" s="3" t="inlineStr">
        <is>
          <t>File: Airport_Arrival_ATFM_Delay.xlsx, sheet DATA. Downloaded 16 September 2026.</t>
        </is>
      </c>
    </row>
    <row r="6">
      <c r="A6" s="3" t="inlineStr">
        <is>
          <t>https://ansperformance.eu/data/  ·  1,033,177 daily airport records, Jan 2019 - Jul 2026.</t>
        </is>
      </c>
    </row>
    <row r="7">
      <c r="A7" t="inlineStr"/>
    </row>
    <row r="8">
      <c r="A8" s="2" t="inlineStr">
        <is>
          <t>What an ATFM delay is</t>
        </is>
      </c>
    </row>
    <row r="9">
      <c r="A9" s="3" t="inlineStr">
        <is>
          <t>Air Traffic Flow Management delay is the delay assigned to a flight before departure because the</t>
        </is>
      </c>
    </row>
    <row r="10">
      <c r="A10" s="3" t="inlineStr">
        <is>
          <t>destination airport or the airspace cannot accept it on time. It is NOT total flight delay: crew,</t>
        </is>
      </c>
    </row>
    <row r="11">
      <c r="A11" s="3" t="inlineStr">
        <is>
          <t>baggage, boarding and aircraft turnaround delays are not in this dataset at all.</t>
        </is>
      </c>
    </row>
    <row r="12">
      <c r="A12" t="inlineStr"/>
    </row>
    <row r="13">
      <c r="A13" s="2" t="inlineStr">
        <is>
          <t>Window</t>
        </is>
      </c>
    </row>
    <row r="14">
      <c r="A14" s="3" t="inlineStr">
        <is>
          <t>January to July only, for every year 2019-2026. 2026 data ends 31 July, so full calendar years would</t>
        </is>
      </c>
    </row>
    <row r="15">
      <c r="A15" s="3" t="inlineStr">
        <is>
          <t>not be comparable. Restricting every year to the same seven months removes that problem.</t>
        </is>
      </c>
    </row>
    <row r="16">
      <c r="A16" t="inlineStr"/>
    </row>
    <row r="17">
      <c r="A17" s="2" t="inlineStr">
        <is>
          <t>Peer set, and the rule used to choose it</t>
        </is>
      </c>
    </row>
    <row r="18">
      <c r="A18" s="3" t="inlineStr">
        <is>
          <t>Large Western European hub airports with a dominant network carrier: London Heathrow, Paris CDG,</t>
        </is>
      </c>
    </row>
    <row r="19">
      <c r="A19" s="3" t="inlineStr">
        <is>
          <t>Frankfurt, Munich, Zurich, Madrid, Copenhagen, Brussels, Rome Fiumicino. Istanbul is the only European</t>
        </is>
      </c>
    </row>
    <row r="20">
      <c r="A20" s="3" t="inlineStr">
        <is>
          <t>airport with more arrivals than Schiphol but sits outside the EU regulatory regime, so it is excluded.</t>
        </is>
      </c>
    </row>
    <row r="21">
      <c r="A21" s="3" t="inlineStr">
        <is>
          <t>Barcelona and Gatwick are excluded as point-to-point rather than hub operations.</t>
        </is>
      </c>
    </row>
    <row r="22">
      <c r="A22" t="inlineStr"/>
    </row>
    <row r="23">
      <c r="A23" s="2" t="inlineStr">
        <is>
          <t>Integrity check</t>
        </is>
      </c>
    </row>
    <row r="24">
      <c r="A24" s="3" t="inlineStr">
        <is>
          <t>The sixteen cause columns sum to the reported total delay column exactly: 7,409,233 minutes against</t>
        </is>
      </c>
    </row>
    <row r="25">
      <c r="A25" s="3" t="inlineStr">
        <is>
          <t>7,409,233 for 2025. No rounding gap, no unallocated residue.</t>
        </is>
      </c>
    </row>
    <row r="26">
      <c r="A26" t="inlineStr"/>
    </row>
    <row r="27">
      <c r="A27" s="4" t="inlineStr">
        <is>
          <t>Prepared by Gilroy Joseph  ·  gilroybjoseph@gmail.com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6" customWidth="1" min="2" max="2"/>
    <col width="60" customWidth="1" min="3" max="3"/>
  </cols>
  <sheetData>
    <row r="1">
      <c r="A1" s="5" t="inlineStr">
        <is>
          <t>Metric</t>
        </is>
      </c>
      <c r="B1" s="5" t="inlineStr">
        <is>
          <t>Formula</t>
        </is>
      </c>
      <c r="C1" s="6" t="inlineStr">
        <is>
          <t>Why this one</t>
        </is>
      </c>
    </row>
    <row r="2">
      <c r="A2" s="7" t="inlineStr">
        <is>
          <t>Arrival ATFM delay minutes per arrival</t>
        </is>
      </c>
      <c r="B2" s="7" t="inlineStr">
        <is>
          <t>SUM(DLY_APT_ARR_1) / SUM(FLT_ARR_1)</t>
        </is>
      </c>
      <c r="C2" s="8" t="inlineStr">
        <is>
          <t>Volume-neutral. A big airport and a small one can be put side by side.</t>
        </is>
      </c>
    </row>
    <row r="3">
      <c r="A3" s="7" t="inlineStr">
        <is>
          <t>Share of arrivals delayed over 15 min</t>
        </is>
      </c>
      <c r="B3" s="7" t="inlineStr">
        <is>
          <t>SUM(FLT_ARR_1_DLY_15) / SUM(FLT_ARR_1)</t>
        </is>
      </c>
      <c r="C3" s="8" t="inlineStr">
        <is>
          <t>Counts flights affected, not minutes. Stops a few very long delays dominating.</t>
        </is>
      </c>
    </row>
    <row r="4">
      <c r="A4" s="7" t="inlineStr">
        <is>
          <t>Delay minutes per arrival by cause</t>
        </is>
      </c>
      <c r="B4" s="7" t="inlineStr">
        <is>
          <t>SUM(DLY_APT_ARR_&lt;code&gt;_1) / SUM(FLT_ARR_1)</t>
        </is>
      </c>
      <c r="C4" s="8" t="inlineStr">
        <is>
          <t>Splits the headline into the sixteen official EUROCONTROL cause codes.</t>
        </is>
      </c>
    </row>
    <row r="5">
      <c r="A5" s="7" t="inlineStr">
        <is>
          <t>Weather-excluded delay</t>
        </is>
      </c>
      <c r="B5" s="7" t="inlineStr">
        <is>
          <t>Total minus codes W (Weather) and D (De-icing)</t>
        </is>
      </c>
      <c r="C5" s="8" t="inlineStr">
        <is>
          <t>Weather is not controllable by the airport. Removing it tests whether the gap survives.</t>
        </is>
      </c>
    </row>
    <row r="6">
      <c r="A6" s="7" t="inlineStr">
        <is>
          <t>Concentration of delay</t>
        </is>
      </c>
      <c r="B6" s="7" t="inlineStr">
        <is>
          <t>Share of minutes falling on the ten worst days</t>
        </is>
      </c>
      <c r="C6" s="8" t="inlineStr">
        <is>
          <t>Separates a chronic capacity problem from a handful of storm days.</t>
        </is>
      </c>
    </row>
    <row r="7">
      <c r="A7" s="7" t="inlineStr"/>
      <c r="B7" s="7" t="inlineStr"/>
      <c r="C7" s="8" t="inlineStr"/>
    </row>
    <row r="8">
      <c r="A8" s="5" t="inlineStr">
        <is>
          <t>Cause code</t>
        </is>
      </c>
      <c r="B8" s="5" t="inlineStr">
        <is>
          <t>Official name</t>
        </is>
      </c>
      <c r="C8" s="6" t="inlineStr">
        <is>
          <t>Group</t>
        </is>
      </c>
    </row>
    <row r="9">
      <c r="A9" s="7" t="inlineStr">
        <is>
          <t>C</t>
        </is>
      </c>
      <c r="B9" s="7" t="inlineStr">
        <is>
          <t>ATC Capacity</t>
        </is>
      </c>
      <c r="C9" s="8" t="inlineStr">
        <is>
          <t>AD Capacity (ATC)</t>
        </is>
      </c>
    </row>
    <row r="10">
      <c r="A10" s="7" t="inlineStr">
        <is>
          <t>S</t>
        </is>
      </c>
      <c r="B10" s="7" t="inlineStr">
        <is>
          <t>ATC Staffing</t>
        </is>
      </c>
      <c r="C10" s="8" t="inlineStr">
        <is>
          <t>AD Staffing (ATC)</t>
        </is>
      </c>
    </row>
    <row r="11">
      <c r="A11" s="7" t="inlineStr">
        <is>
          <t>I</t>
        </is>
      </c>
      <c r="B11" s="7" t="inlineStr">
        <is>
          <t>Industrial Action (ATC)</t>
        </is>
      </c>
      <c r="C11" s="8" t="inlineStr">
        <is>
          <t>AD Disruptions (ATC)</t>
        </is>
      </c>
    </row>
    <row r="12">
      <c r="A12" s="7" t="inlineStr">
        <is>
          <t>T</t>
        </is>
      </c>
      <c r="B12" s="7" t="inlineStr">
        <is>
          <t>Equipment (ATC)</t>
        </is>
      </c>
      <c r="C12" s="8" t="inlineStr">
        <is>
          <t>AD Disruptions (ATC)</t>
        </is>
      </c>
    </row>
    <row r="13">
      <c r="A13" s="7" t="inlineStr">
        <is>
          <t>G</t>
        </is>
      </c>
      <c r="B13" s="7" t="inlineStr">
        <is>
          <t>Aerodrome Capacity</t>
        </is>
      </c>
      <c r="C13" s="8" t="inlineStr">
        <is>
          <t>AD Capacity</t>
        </is>
      </c>
    </row>
    <row r="14">
      <c r="A14" s="7" t="inlineStr">
        <is>
          <t>M</t>
        </is>
      </c>
      <c r="B14" s="7" t="inlineStr">
        <is>
          <t>Military Activity</t>
        </is>
      </c>
      <c r="C14" s="8" t="inlineStr">
        <is>
          <t>AD Capacity</t>
        </is>
      </c>
    </row>
    <row r="15">
      <c r="A15" s="7" t="inlineStr">
        <is>
          <t>R</t>
        </is>
      </c>
      <c r="B15" s="7" t="inlineStr">
        <is>
          <t>ATC Routeing</t>
        </is>
      </c>
      <c r="C15" s="8" t="inlineStr">
        <is>
          <t>AD Capacity</t>
        </is>
      </c>
    </row>
    <row r="16">
      <c r="A16" s="7" t="inlineStr">
        <is>
          <t>V</t>
        </is>
      </c>
      <c r="B16" s="7" t="inlineStr">
        <is>
          <t>Environmental Issues</t>
        </is>
      </c>
      <c r="C16" s="8" t="inlineStr">
        <is>
          <t>AD Capacity</t>
        </is>
      </c>
    </row>
    <row r="17">
      <c r="A17" s="7" t="inlineStr">
        <is>
          <t>A</t>
        </is>
      </c>
      <c r="B17" s="7" t="inlineStr">
        <is>
          <t>Accident/Incident</t>
        </is>
      </c>
      <c r="C17" s="8" t="inlineStr">
        <is>
          <t>AD Disruptions</t>
        </is>
      </c>
    </row>
    <row r="18">
      <c r="A18" s="7" t="inlineStr">
        <is>
          <t>E</t>
        </is>
      </c>
      <c r="B18" s="7" t="inlineStr">
        <is>
          <t>Aerodrome Services</t>
        </is>
      </c>
      <c r="C18" s="8" t="inlineStr">
        <is>
          <t>AD Disruptions</t>
        </is>
      </c>
    </row>
    <row r="19">
      <c r="A19" s="7" t="inlineStr">
        <is>
          <t>N</t>
        </is>
      </c>
      <c r="B19" s="7" t="inlineStr">
        <is>
          <t>Industrial Action (non-ATC)</t>
        </is>
      </c>
      <c r="C19" s="8" t="inlineStr">
        <is>
          <t>AD Disruptions</t>
        </is>
      </c>
    </row>
    <row r="20">
      <c r="A20" s="7" t="inlineStr">
        <is>
          <t>NA</t>
        </is>
      </c>
      <c r="B20" s="7" t="inlineStr">
        <is>
          <t>Not regulated/Not specified</t>
        </is>
      </c>
      <c r="C20" s="8" t="inlineStr">
        <is>
          <t>AD Disruptions</t>
        </is>
      </c>
    </row>
    <row r="21">
      <c r="A21" s="7" t="inlineStr">
        <is>
          <t>O</t>
        </is>
      </c>
      <c r="B21" s="7" t="inlineStr">
        <is>
          <t>Other</t>
        </is>
      </c>
      <c r="C21" s="8" t="inlineStr">
        <is>
          <t>AD Disruptions</t>
        </is>
      </c>
    </row>
    <row r="22">
      <c r="A22" s="7" t="inlineStr">
        <is>
          <t>P</t>
        </is>
      </c>
      <c r="B22" s="7" t="inlineStr">
        <is>
          <t>Special Event</t>
        </is>
      </c>
      <c r="C22" s="8" t="inlineStr">
        <is>
          <t>AD Events</t>
        </is>
      </c>
    </row>
    <row r="23">
      <c r="A23" s="7" t="inlineStr">
        <is>
          <t>D</t>
        </is>
      </c>
      <c r="B23" s="7" t="inlineStr">
        <is>
          <t>De-icing</t>
        </is>
      </c>
      <c r="C23" s="8" t="inlineStr">
        <is>
          <t>AD Weather</t>
        </is>
      </c>
    </row>
    <row r="24">
      <c r="A24" s="7" t="inlineStr">
        <is>
          <t>W</t>
        </is>
      </c>
      <c r="B24" s="7" t="inlineStr">
        <is>
          <t>Weather</t>
        </is>
      </c>
      <c r="C24" s="8" t="inlineStr">
        <is>
          <t>AD Weather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Arrival ATFM delay, minutes per IFR arrival - January to July of each year</t>
        </is>
      </c>
    </row>
    <row r="2">
      <c r="A2" s="4" t="inlineStr">
        <is>
          <t>Lower is better. The green row is Amsterdam Schiphol.</t>
        </is>
      </c>
    </row>
    <row r="4">
      <c r="A4" s="9" t="inlineStr">
        <is>
          <t>ICAO</t>
        </is>
      </c>
      <c r="B4" s="9" t="inlineStr">
        <is>
          <t>Airport</t>
        </is>
      </c>
      <c r="C4" s="10" t="inlineStr">
        <is>
          <t>2019</t>
        </is>
      </c>
      <c r="D4" s="10" t="inlineStr">
        <is>
          <t>2020</t>
        </is>
      </c>
      <c r="E4" s="10" t="inlineStr">
        <is>
          <t>2021</t>
        </is>
      </c>
      <c r="F4" s="10" t="inlineStr">
        <is>
          <t>2022</t>
        </is>
      </c>
      <c r="G4" s="10" t="inlineStr">
        <is>
          <t>2023</t>
        </is>
      </c>
      <c r="H4" s="10" t="inlineStr">
        <is>
          <t>2024</t>
        </is>
      </c>
      <c r="I4" s="10" t="inlineStr">
        <is>
          <t>2025</t>
        </is>
      </c>
      <c r="J4" s="10" t="inlineStr">
        <is>
          <t>2026</t>
        </is>
      </c>
    </row>
    <row r="5">
      <c r="A5" s="11" t="inlineStr">
        <is>
          <t>EHAM</t>
        </is>
      </c>
      <c r="B5" s="12" t="inlineStr">
        <is>
          <t>Amsterdam - Schiphol</t>
        </is>
      </c>
      <c r="C5" s="13" t="n">
        <v>4.93</v>
      </c>
      <c r="D5" s="13" t="n">
        <v>2.33</v>
      </c>
      <c r="E5" s="13" t="n">
        <v>0.3</v>
      </c>
      <c r="F5" s="13" t="n">
        <v>2.87</v>
      </c>
      <c r="G5" s="13" t="n">
        <v>2.11</v>
      </c>
      <c r="H5" s="13" t="n">
        <v>3.29</v>
      </c>
      <c r="I5" s="13" t="n">
        <v>4.46</v>
      </c>
      <c r="J5" s="13" t="n">
        <v>3.03</v>
      </c>
    </row>
    <row r="6">
      <c r="A6" s="11" t="inlineStr">
        <is>
          <t>LSZH</t>
        </is>
      </c>
      <c r="B6" s="11" t="inlineStr">
        <is>
          <t>Zürich</t>
        </is>
      </c>
      <c r="C6" s="14" t="n">
        <v>2.27</v>
      </c>
      <c r="D6" s="14" t="n">
        <v>0.51</v>
      </c>
      <c r="E6" s="14" t="n">
        <v>0.25</v>
      </c>
      <c r="F6" s="14" t="n">
        <v>0.45</v>
      </c>
      <c r="G6" s="14" t="n">
        <v>1.34</v>
      </c>
      <c r="H6" s="14" t="n">
        <v>1.82</v>
      </c>
      <c r="I6" s="14" t="n">
        <v>2.83</v>
      </c>
      <c r="J6" s="14" t="n">
        <v>2.54</v>
      </c>
    </row>
    <row r="7">
      <c r="A7" s="11" t="inlineStr">
        <is>
          <t>EKCH</t>
        </is>
      </c>
      <c r="B7" s="11" t="inlineStr">
        <is>
          <t>Copenhagen - Kastrup</t>
        </is>
      </c>
      <c r="C7" s="14" t="n">
        <v>0.05</v>
      </c>
      <c r="D7" s="14" t="n">
        <v>0</v>
      </c>
      <c r="E7" s="14" t="n">
        <v>0</v>
      </c>
      <c r="F7" s="14" t="n">
        <v>0</v>
      </c>
      <c r="G7" s="14" t="n">
        <v>5.13</v>
      </c>
      <c r="H7" s="14" t="n">
        <v>0.52</v>
      </c>
      <c r="I7" s="14" t="n">
        <v>0.41</v>
      </c>
      <c r="J7" s="14" t="n">
        <v>1.04</v>
      </c>
    </row>
    <row r="8">
      <c r="A8" s="11" t="inlineStr">
        <is>
          <t>EGLL</t>
        </is>
      </c>
      <c r="B8" s="11" t="inlineStr">
        <is>
          <t>London - Heathrow</t>
        </is>
      </c>
      <c r="C8" s="14" t="n">
        <v>1.65</v>
      </c>
      <c r="D8" s="14" t="n">
        <v>2.15</v>
      </c>
      <c r="E8" s="14" t="n">
        <v>0</v>
      </c>
      <c r="F8" s="14" t="n">
        <v>0.19</v>
      </c>
      <c r="G8" s="14" t="n">
        <v>1.26</v>
      </c>
      <c r="H8" s="14" t="n">
        <v>3.02</v>
      </c>
      <c r="I8" s="14" t="n">
        <v>1.28</v>
      </c>
      <c r="J8" s="14" t="n">
        <v>0.99</v>
      </c>
    </row>
    <row r="9">
      <c r="A9" s="11" t="inlineStr">
        <is>
          <t>LFPG</t>
        </is>
      </c>
      <c r="B9" s="11" t="inlineStr">
        <is>
          <t>Paris-Charles-de-Gaulle</t>
        </is>
      </c>
      <c r="C9" s="14" t="n">
        <v>0.34</v>
      </c>
      <c r="D9" s="14" t="n">
        <v>0.17</v>
      </c>
      <c r="E9" s="14" t="n">
        <v>0.28</v>
      </c>
      <c r="F9" s="14" t="n">
        <v>0.5</v>
      </c>
      <c r="G9" s="14" t="n">
        <v>0.23</v>
      </c>
      <c r="H9" s="14" t="n">
        <v>0.19</v>
      </c>
      <c r="I9" s="14" t="n">
        <v>0.4</v>
      </c>
      <c r="J9" s="14" t="n">
        <v>0.88</v>
      </c>
    </row>
    <row r="10">
      <c r="A10" s="11" t="inlineStr">
        <is>
          <t>EBBR</t>
        </is>
      </c>
      <c r="B10" s="11" t="inlineStr">
        <is>
          <t>Brussels</t>
        </is>
      </c>
      <c r="C10" s="14" t="n">
        <v>1.22</v>
      </c>
      <c r="D10" s="14" t="n">
        <v>0.58</v>
      </c>
      <c r="E10" s="14" t="n">
        <v>0.02</v>
      </c>
      <c r="F10" s="14" t="n">
        <v>0.09</v>
      </c>
      <c r="G10" s="14" t="n">
        <v>0.59</v>
      </c>
      <c r="H10" s="14" t="n">
        <v>0.17</v>
      </c>
      <c r="I10" s="14" t="n">
        <v>0.75</v>
      </c>
      <c r="J10" s="14" t="n">
        <v>0.73</v>
      </c>
    </row>
    <row r="11">
      <c r="A11" s="11" t="inlineStr">
        <is>
          <t>EDDF</t>
        </is>
      </c>
      <c r="B11" s="11" t="inlineStr">
        <is>
          <t>Frankfurt</t>
        </is>
      </c>
      <c r="C11" s="14" t="n">
        <v>1.05</v>
      </c>
      <c r="D11" s="14" t="n">
        <v>0.29</v>
      </c>
      <c r="E11" s="14" t="n">
        <v>0.04</v>
      </c>
      <c r="F11" s="14" t="n">
        <v>0.3</v>
      </c>
      <c r="G11" s="14" t="n">
        <v>1.75</v>
      </c>
      <c r="H11" s="14" t="n">
        <v>0.98</v>
      </c>
      <c r="I11" s="14" t="n">
        <v>1.02</v>
      </c>
      <c r="J11" s="14" t="n">
        <v>0.6899999999999999</v>
      </c>
    </row>
    <row r="12">
      <c r="A12" s="11" t="inlineStr">
        <is>
          <t>EDDM</t>
        </is>
      </c>
      <c r="B12" s="11" t="inlineStr">
        <is>
          <t>Munich</t>
        </is>
      </c>
      <c r="C12" s="14" t="n">
        <v>0.3</v>
      </c>
      <c r="D12" s="14" t="n">
        <v>0.12</v>
      </c>
      <c r="E12" s="14" t="n">
        <v>0.1</v>
      </c>
      <c r="F12" s="14" t="n">
        <v>0.25</v>
      </c>
      <c r="G12" s="14" t="n">
        <v>0.36</v>
      </c>
      <c r="H12" s="14" t="n">
        <v>0.48</v>
      </c>
      <c r="I12" s="14" t="n">
        <v>0.38</v>
      </c>
      <c r="J12" s="14" t="n">
        <v>0.51</v>
      </c>
    </row>
    <row r="13">
      <c r="A13" s="11" t="inlineStr">
        <is>
          <t>LEMD</t>
        </is>
      </c>
      <c r="B13" s="11" t="inlineStr">
        <is>
          <t>Madrid - Barajas</t>
        </is>
      </c>
      <c r="C13" s="14" t="n">
        <v>1.22</v>
      </c>
      <c r="D13" s="14" t="n">
        <v>0.78</v>
      </c>
      <c r="E13" s="14" t="n">
        <v>0.47</v>
      </c>
      <c r="F13" s="14" t="n">
        <v>0.19</v>
      </c>
      <c r="G13" s="14" t="n">
        <v>0.63</v>
      </c>
      <c r="H13" s="14" t="n">
        <v>0.48</v>
      </c>
      <c r="I13" s="14" t="n">
        <v>0.61</v>
      </c>
      <c r="J13" s="14" t="n">
        <v>0.4</v>
      </c>
    </row>
    <row r="14">
      <c r="A14" s="11" t="inlineStr">
        <is>
          <t>LIRF</t>
        </is>
      </c>
      <c r="B14" s="11" t="inlineStr">
        <is>
          <t>Rome - Fiumicino</t>
        </is>
      </c>
      <c r="C14" s="14" t="n">
        <v>0.08</v>
      </c>
      <c r="D14" s="14" t="n">
        <v>0.03</v>
      </c>
      <c r="E14" s="14" t="n">
        <v>0</v>
      </c>
      <c r="F14" s="14" t="n">
        <v>0.05</v>
      </c>
      <c r="G14" s="14" t="n">
        <v>0.06</v>
      </c>
      <c r="H14" s="14" t="n">
        <v>0.09</v>
      </c>
      <c r="I14" s="14" t="n">
        <v>0.03</v>
      </c>
      <c r="J14" s="14" t="n">
        <v>0.06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Delay minutes per arrival by official cause code - 2026, January to July</t>
        </is>
      </c>
    </row>
    <row r="2">
      <c r="A2" s="4" t="inlineStr">
        <is>
          <t>Peer median is the median of the nine comparison hubs, not a mean, so one outlier cannot move it.</t>
        </is>
      </c>
    </row>
    <row r="4">
      <c r="A4" s="15" t="inlineStr">
        <is>
          <t>Cause</t>
        </is>
      </c>
      <c r="B4" s="15" t="inlineStr">
        <is>
          <t>Schiphol</t>
        </is>
      </c>
      <c r="C4" s="15" t="inlineStr">
        <is>
          <t>Peer median</t>
        </is>
      </c>
      <c r="D4" s="15" t="inlineStr">
        <is>
          <t>EBBR</t>
        </is>
      </c>
      <c r="E4" s="15" t="inlineStr">
        <is>
          <t>EDDF</t>
        </is>
      </c>
      <c r="F4" s="15" t="inlineStr">
        <is>
          <t>EDDM</t>
        </is>
      </c>
      <c r="G4" s="15" t="inlineStr">
        <is>
          <t>EGLL</t>
        </is>
      </c>
      <c r="H4" s="15" t="inlineStr">
        <is>
          <t>EKCH</t>
        </is>
      </c>
      <c r="I4" s="15" t="inlineStr">
        <is>
          <t>LEMD</t>
        </is>
      </c>
      <c r="J4" s="15" t="inlineStr">
        <is>
          <t>LFPG</t>
        </is>
      </c>
      <c r="K4" s="15" t="inlineStr">
        <is>
          <t>LIRF</t>
        </is>
      </c>
      <c r="L4" s="15" t="inlineStr">
        <is>
          <t>LSZH</t>
        </is>
      </c>
    </row>
    <row r="5">
      <c r="A5" s="11" t="inlineStr">
        <is>
          <t>Weather</t>
        </is>
      </c>
      <c r="B5" s="16" t="n">
        <v>1.702</v>
      </c>
      <c r="C5" s="17" t="n">
        <v>0.448</v>
      </c>
      <c r="D5" s="17" t="n">
        <v>0.207</v>
      </c>
      <c r="E5" s="17" t="n">
        <v>0.639</v>
      </c>
      <c r="F5" s="17" t="n">
        <v>0.448</v>
      </c>
      <c r="G5" s="17" t="n">
        <v>0.678</v>
      </c>
      <c r="H5" s="17" t="n">
        <v>0.7</v>
      </c>
      <c r="I5" s="17" t="n">
        <v>0.301</v>
      </c>
      <c r="J5" s="17" t="n">
        <v>0.444</v>
      </c>
      <c r="K5" s="17" t="n">
        <v>0.056</v>
      </c>
      <c r="L5" s="17" t="n">
        <v>0.806</v>
      </c>
    </row>
    <row r="6">
      <c r="A6" s="11" t="inlineStr">
        <is>
          <t>Aerodrome Capacity</t>
        </is>
      </c>
      <c r="B6" s="16" t="n">
        <v>1.287</v>
      </c>
      <c r="C6" s="17" t="n">
        <v>0.112</v>
      </c>
      <c r="D6" s="17" t="n">
        <v>0.153</v>
      </c>
      <c r="E6" s="17" t="n">
        <v>0.023</v>
      </c>
      <c r="F6" s="17" t="n">
        <v>0</v>
      </c>
      <c r="G6" s="17" t="n">
        <v>0.127</v>
      </c>
      <c r="H6" s="17" t="n">
        <v>0.112</v>
      </c>
      <c r="I6" s="17" t="n">
        <v>0.035</v>
      </c>
      <c r="J6" s="17" t="n">
        <v>0.205</v>
      </c>
      <c r="K6" s="17" t="n">
        <v>0</v>
      </c>
      <c r="L6" s="17" t="n">
        <v>0.414</v>
      </c>
    </row>
    <row r="7">
      <c r="A7" s="11" t="inlineStr">
        <is>
          <t>Equipment (ATC)</t>
        </is>
      </c>
      <c r="B7" s="16" t="n">
        <v>0.023</v>
      </c>
      <c r="C7" s="17" t="n">
        <v>0.007</v>
      </c>
      <c r="D7" s="17" t="n">
        <v>0.289</v>
      </c>
      <c r="E7" s="17" t="n">
        <v>0.004</v>
      </c>
      <c r="F7" s="17" t="n">
        <v>0.013</v>
      </c>
      <c r="G7" s="17" t="n">
        <v>0</v>
      </c>
      <c r="H7" s="17" t="n">
        <v>0.007</v>
      </c>
      <c r="I7" s="17" t="n">
        <v>0</v>
      </c>
      <c r="J7" s="17" t="n">
        <v>0.02</v>
      </c>
      <c r="K7" s="17" t="n">
        <v>0</v>
      </c>
      <c r="L7" s="17" t="n">
        <v>0.018</v>
      </c>
    </row>
    <row r="8">
      <c r="A8" s="11" t="inlineStr">
        <is>
          <t>Other</t>
        </is>
      </c>
      <c r="B8" s="16" t="n">
        <v>0.011</v>
      </c>
      <c r="C8" s="17" t="n">
        <v>0.001</v>
      </c>
      <c r="D8" s="17" t="n">
        <v>0</v>
      </c>
      <c r="E8" s="17" t="n">
        <v>0</v>
      </c>
      <c r="F8" s="17" t="n">
        <v>0.013</v>
      </c>
      <c r="G8" s="17" t="n">
        <v>0.093</v>
      </c>
      <c r="H8" s="17" t="n">
        <v>0</v>
      </c>
      <c r="I8" s="17" t="n">
        <v>0</v>
      </c>
      <c r="J8" s="17" t="n">
        <v>0.036</v>
      </c>
      <c r="K8" s="17" t="n">
        <v>0.001</v>
      </c>
      <c r="L8" s="17" t="n">
        <v>1.248</v>
      </c>
    </row>
    <row r="9">
      <c r="A9" s="11" t="inlineStr">
        <is>
          <t>ATC Capacity</t>
        </is>
      </c>
      <c r="B9" s="16" t="n">
        <v>0.005</v>
      </c>
      <c r="C9" s="17" t="n">
        <v>0.033</v>
      </c>
      <c r="D9" s="17" t="n">
        <v>0.045</v>
      </c>
      <c r="E9" s="17" t="n">
        <v>0.002</v>
      </c>
      <c r="F9" s="17" t="n">
        <v>0.033</v>
      </c>
      <c r="G9" s="17" t="n">
        <v>0.094</v>
      </c>
      <c r="H9" s="17" t="n">
        <v>0.013</v>
      </c>
      <c r="I9" s="17" t="n">
        <v>0.052</v>
      </c>
      <c r="J9" s="17" t="n">
        <v>0.033</v>
      </c>
      <c r="K9" s="17" t="n">
        <v>0</v>
      </c>
      <c r="L9" s="17" t="n">
        <v>0.004</v>
      </c>
    </row>
    <row r="10">
      <c r="A10" s="11" t="inlineStr">
        <is>
          <t>Accident/Incident</t>
        </is>
      </c>
      <c r="B10" s="16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</row>
    <row r="11">
      <c r="A11" s="11" t="inlineStr">
        <is>
          <t>ATC Staffing</t>
        </is>
      </c>
      <c r="B11" s="16" t="n">
        <v>0</v>
      </c>
      <c r="C11" s="17" t="n">
        <v>0.016</v>
      </c>
      <c r="D11" s="17" t="n">
        <v>0.026</v>
      </c>
      <c r="E11" s="17" t="n">
        <v>0.022</v>
      </c>
      <c r="F11" s="17" t="n">
        <v>0.001</v>
      </c>
      <c r="G11" s="17" t="n">
        <v>0</v>
      </c>
      <c r="H11" s="17" t="n">
        <v>0.207</v>
      </c>
      <c r="I11" s="17" t="n">
        <v>0.006</v>
      </c>
      <c r="J11" s="17" t="n">
        <v>0.113</v>
      </c>
      <c r="K11" s="17" t="n">
        <v>0</v>
      </c>
      <c r="L11" s="17" t="n">
        <v>0.016</v>
      </c>
    </row>
    <row r="12">
      <c r="A12" s="11" t="inlineStr">
        <is>
          <t>ATC Routeing</t>
        </is>
      </c>
      <c r="B12" s="16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</row>
    <row r="13">
      <c r="A13" s="11" t="inlineStr">
        <is>
          <t>Environmental Issues</t>
        </is>
      </c>
      <c r="B13" s="16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0.007</v>
      </c>
      <c r="J13" s="17" t="n">
        <v>0</v>
      </c>
      <c r="K13" s="17" t="n">
        <v>0</v>
      </c>
      <c r="L13" s="17" t="n">
        <v>0.022</v>
      </c>
    </row>
    <row r="14">
      <c r="A14" s="11" t="inlineStr">
        <is>
          <t>De-icing</t>
        </is>
      </c>
      <c r="B14" s="16" t="n">
        <v>0</v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</row>
    <row r="15">
      <c r="A15" s="11" t="inlineStr">
        <is>
          <t>Aerodrome Services</t>
        </is>
      </c>
      <c r="B15" s="16" t="n">
        <v>0</v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0.006</v>
      </c>
      <c r="K15" s="17" t="n">
        <v>0</v>
      </c>
      <c r="L15" s="17" t="n">
        <v>0.012</v>
      </c>
    </row>
    <row r="16">
      <c r="A16" s="11" t="inlineStr">
        <is>
          <t>Industrial Action (ATC)</t>
        </is>
      </c>
      <c r="B16" s="16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</row>
    <row r="17">
      <c r="A17" s="11" t="inlineStr">
        <is>
          <t>Military Activity</t>
        </is>
      </c>
      <c r="B17" s="16" t="n">
        <v>0</v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</row>
    <row r="18">
      <c r="A18" s="11" t="inlineStr">
        <is>
          <t>Industrial Action (non-ATC)</t>
        </is>
      </c>
      <c r="B18" s="16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0.002</v>
      </c>
      <c r="K18" s="17" t="n">
        <v>0</v>
      </c>
      <c r="L18" s="17" t="n">
        <v>0</v>
      </c>
    </row>
    <row r="19">
      <c r="A19" s="11" t="inlineStr">
        <is>
          <t>Not regulated/specified</t>
        </is>
      </c>
      <c r="B19" s="16" t="n">
        <v>0</v>
      </c>
      <c r="C19" s="17" t="n">
        <v>0</v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</row>
    <row r="20">
      <c r="A20" s="11" t="inlineStr">
        <is>
          <t>Special Event</t>
        </is>
      </c>
      <c r="B20" s="16" t="n">
        <v>0</v>
      </c>
      <c r="C20" s="17" t="n">
        <v>0</v>
      </c>
      <c r="D20" s="17" t="n">
        <v>0.007</v>
      </c>
      <c r="E20" s="17" t="n">
        <v>0</v>
      </c>
      <c r="F20" s="17" t="n">
        <v>0</v>
      </c>
      <c r="G20" s="17" t="n">
        <v>0.001</v>
      </c>
      <c r="H20" s="17" t="n">
        <v>0</v>
      </c>
      <c r="I20" s="17" t="n">
        <v>0.002</v>
      </c>
      <c r="J20" s="17" t="n">
        <v>0.02</v>
      </c>
      <c r="K20" s="17" t="n">
        <v>0</v>
      </c>
      <c r="L20" s="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</cols>
  <sheetData>
    <row r="1">
      <c r="A1" s="1" t="inlineStr">
        <is>
          <t>Monthly arrival ATFM delay per arrival - Schiphol against the peer median</t>
        </is>
      </c>
    </row>
    <row r="3">
      <c r="A3" s="15" t="inlineStr">
        <is>
          <t>Month</t>
        </is>
      </c>
      <c r="B3" s="15" t="inlineStr">
        <is>
          <t>Schiphol</t>
        </is>
      </c>
      <c r="C3" s="15" t="inlineStr">
        <is>
          <t>Peer median</t>
        </is>
      </c>
    </row>
    <row r="4">
      <c r="A4" s="3" t="inlineStr">
        <is>
          <t>2019-01</t>
        </is>
      </c>
      <c r="B4" s="18" t="n">
        <v>1.8</v>
      </c>
      <c r="C4" s="18" t="n">
        <v>0.42</v>
      </c>
    </row>
    <row r="5">
      <c r="A5" s="3" t="inlineStr">
        <is>
          <t>2019-02</t>
        </is>
      </c>
      <c r="B5" s="18" t="n">
        <v>1.98</v>
      </c>
      <c r="C5" s="18" t="n">
        <v>0.36</v>
      </c>
    </row>
    <row r="6">
      <c r="A6" s="3" t="inlineStr">
        <is>
          <t>2019-03</t>
        </is>
      </c>
      <c r="B6" s="18" t="n">
        <v>10.47</v>
      </c>
      <c r="C6" s="18" t="n">
        <v>1.96</v>
      </c>
    </row>
    <row r="7">
      <c r="A7" s="3" t="inlineStr">
        <is>
          <t>2019-04</t>
        </is>
      </c>
      <c r="B7" s="18" t="n">
        <v>4.03</v>
      </c>
      <c r="C7" s="18" t="n">
        <v>0.34</v>
      </c>
    </row>
    <row r="8">
      <c r="A8" s="3" t="inlineStr">
        <is>
          <t>2019-05</t>
        </is>
      </c>
      <c r="B8" s="18" t="n">
        <v>8.83</v>
      </c>
      <c r="C8" s="18" t="n">
        <v>0.51</v>
      </c>
    </row>
    <row r="9">
      <c r="A9" s="3" t="inlineStr">
        <is>
          <t>2019-06</t>
        </is>
      </c>
      <c r="B9" s="18" t="n">
        <v>4.5</v>
      </c>
      <c r="C9" s="18" t="n">
        <v>0.85</v>
      </c>
    </row>
    <row r="10">
      <c r="A10" s="3" t="inlineStr">
        <is>
          <t>2019-07</t>
        </is>
      </c>
      <c r="B10" s="18" t="n">
        <v>2.3</v>
      </c>
      <c r="C10" s="18" t="n">
        <v>0.7</v>
      </c>
    </row>
    <row r="11">
      <c r="A11" s="3" t="inlineStr">
        <is>
          <t>2019-08</t>
        </is>
      </c>
      <c r="B11" s="18" t="n">
        <v>1.8</v>
      </c>
      <c r="C11" s="18" t="n">
        <v>0.32</v>
      </c>
    </row>
    <row r="12">
      <c r="A12" s="3" t="inlineStr">
        <is>
          <t>2019-09</t>
        </is>
      </c>
      <c r="B12" s="18" t="n">
        <v>4.47</v>
      </c>
      <c r="C12" s="18" t="n">
        <v>0.45</v>
      </c>
    </row>
    <row r="13">
      <c r="A13" s="3" t="inlineStr">
        <is>
          <t>2019-10</t>
        </is>
      </c>
      <c r="B13" s="18" t="n">
        <v>4.58</v>
      </c>
      <c r="C13" s="18" t="n">
        <v>0.6</v>
      </c>
    </row>
    <row r="14">
      <c r="A14" s="3" t="inlineStr">
        <is>
          <t>2019-11</t>
        </is>
      </c>
      <c r="B14" s="18" t="n">
        <v>2.35</v>
      </c>
      <c r="C14" s="18" t="n">
        <v>0.43</v>
      </c>
    </row>
    <row r="15">
      <c r="A15" s="3" t="inlineStr">
        <is>
          <t>2019-12</t>
        </is>
      </c>
      <c r="B15" s="18" t="n">
        <v>3.04</v>
      </c>
      <c r="C15" s="18" t="n">
        <v>0.42</v>
      </c>
    </row>
    <row r="16">
      <c r="A16" s="3" t="inlineStr">
        <is>
          <t>2020-01</t>
        </is>
      </c>
      <c r="B16" s="18" t="n">
        <v>1.81</v>
      </c>
      <c r="C16" s="18" t="n">
        <v>0.6899999999999999</v>
      </c>
    </row>
    <row r="17">
      <c r="A17" s="3" t="inlineStr">
        <is>
          <t>2020-02</t>
        </is>
      </c>
      <c r="B17" s="18" t="n">
        <v>6.11</v>
      </c>
      <c r="C17" s="18" t="n">
        <v>0.28</v>
      </c>
    </row>
    <row r="18">
      <c r="A18" s="3" t="inlineStr">
        <is>
          <t>2020-03</t>
        </is>
      </c>
      <c r="B18" s="18" t="n">
        <v>1.14</v>
      </c>
      <c r="C18" s="18" t="n">
        <v>0.1</v>
      </c>
    </row>
    <row r="19">
      <c r="A19" s="3" t="inlineStr">
        <is>
          <t>2020-04</t>
        </is>
      </c>
      <c r="B19" s="18" t="n">
        <v>0</v>
      </c>
      <c r="C19" s="18" t="n">
        <v>0</v>
      </c>
    </row>
    <row r="20">
      <c r="A20" s="3" t="inlineStr">
        <is>
          <t>2020-05</t>
        </is>
      </c>
      <c r="B20" s="18" t="n">
        <v>0</v>
      </c>
      <c r="C20" s="18" t="n">
        <v>0</v>
      </c>
    </row>
    <row r="21">
      <c r="A21" s="3" t="inlineStr">
        <is>
          <t>2020-06</t>
        </is>
      </c>
      <c r="B21" s="18" t="n">
        <v>0</v>
      </c>
      <c r="C21" s="18" t="n">
        <v>0</v>
      </c>
    </row>
    <row r="22">
      <c r="A22" s="3" t="inlineStr">
        <is>
          <t>2020-07</t>
        </is>
      </c>
      <c r="B22" s="18" t="n">
        <v>0</v>
      </c>
      <c r="C22" s="18" t="n">
        <v>0</v>
      </c>
    </row>
    <row r="23">
      <c r="A23" s="3" t="inlineStr">
        <is>
          <t>2020-08</t>
        </is>
      </c>
      <c r="B23" s="18" t="n">
        <v>0.14</v>
      </c>
      <c r="C23" s="18" t="n">
        <v>0</v>
      </c>
    </row>
    <row r="24">
      <c r="A24" s="3" t="inlineStr">
        <is>
          <t>2020-09</t>
        </is>
      </c>
      <c r="B24" s="18" t="n">
        <v>0.3</v>
      </c>
      <c r="C24" s="18" t="n">
        <v>0</v>
      </c>
    </row>
    <row r="25">
      <c r="A25" s="3" t="inlineStr">
        <is>
          <t>2020-10</t>
        </is>
      </c>
      <c r="B25" s="18" t="n">
        <v>0.02</v>
      </c>
      <c r="C25" s="18" t="n">
        <v>0</v>
      </c>
    </row>
    <row r="26">
      <c r="A26" s="3" t="inlineStr">
        <is>
          <t>2020-11</t>
        </is>
      </c>
      <c r="B26" s="18" t="n">
        <v>0.03</v>
      </c>
      <c r="C26" s="18" t="n">
        <v>0</v>
      </c>
    </row>
    <row r="27">
      <c r="A27" s="3" t="inlineStr">
        <is>
          <t>2020-12</t>
        </is>
      </c>
      <c r="B27" s="18" t="n">
        <v>0.14</v>
      </c>
      <c r="C27" s="18" t="n">
        <v>0</v>
      </c>
    </row>
    <row r="28">
      <c r="A28" s="3" t="inlineStr">
        <is>
          <t>2021-01</t>
        </is>
      </c>
      <c r="B28" s="18" t="n">
        <v>0.03</v>
      </c>
      <c r="C28" s="18" t="n">
        <v>0</v>
      </c>
    </row>
    <row r="29">
      <c r="A29" s="3" t="inlineStr">
        <is>
          <t>2021-02</t>
        </is>
      </c>
      <c r="B29" s="18" t="n">
        <v>2.06</v>
      </c>
      <c r="C29" s="18" t="n">
        <v>0</v>
      </c>
    </row>
    <row r="30">
      <c r="A30" s="3" t="inlineStr">
        <is>
          <t>2021-03</t>
        </is>
      </c>
      <c r="B30" s="18" t="n">
        <v>0.1</v>
      </c>
      <c r="C30" s="18" t="n">
        <v>0</v>
      </c>
    </row>
    <row r="31">
      <c r="A31" s="3" t="inlineStr">
        <is>
          <t>2021-04</t>
        </is>
      </c>
      <c r="B31" s="18" t="n">
        <v>0</v>
      </c>
      <c r="C31" s="18" t="n">
        <v>0</v>
      </c>
    </row>
    <row r="32">
      <c r="A32" s="3" t="inlineStr">
        <is>
          <t>2021-05</t>
        </is>
      </c>
      <c r="B32" s="18" t="n">
        <v>0</v>
      </c>
      <c r="C32" s="18" t="n">
        <v>0</v>
      </c>
    </row>
    <row r="33">
      <c r="A33" s="3" t="inlineStr">
        <is>
          <t>2021-06</t>
        </is>
      </c>
      <c r="B33" s="18" t="n">
        <v>0.33</v>
      </c>
      <c r="C33" s="18" t="n">
        <v>0</v>
      </c>
    </row>
    <row r="34">
      <c r="A34" s="3" t="inlineStr">
        <is>
          <t>2021-07</t>
        </is>
      </c>
      <c r="B34" s="18" t="n">
        <v>0.18</v>
      </c>
      <c r="C34" s="18" t="n">
        <v>0.06</v>
      </c>
    </row>
    <row r="35">
      <c r="A35" s="3" t="inlineStr">
        <is>
          <t>2021-08</t>
        </is>
      </c>
      <c r="B35" s="18" t="n">
        <v>0.37</v>
      </c>
      <c r="C35" s="18" t="n">
        <v>0.06</v>
      </c>
    </row>
    <row r="36">
      <c r="A36" s="3" t="inlineStr">
        <is>
          <t>2021-09</t>
        </is>
      </c>
      <c r="B36" s="18" t="n">
        <v>0.17</v>
      </c>
      <c r="C36" s="18" t="n">
        <v>0.15</v>
      </c>
    </row>
    <row r="37">
      <c r="A37" s="3" t="inlineStr">
        <is>
          <t>2021-10</t>
        </is>
      </c>
      <c r="B37" s="18" t="n">
        <v>2.04</v>
      </c>
      <c r="C37" s="18" t="n">
        <v>0.06</v>
      </c>
    </row>
    <row r="38">
      <c r="A38" s="3" t="inlineStr">
        <is>
          <t>2021-11</t>
        </is>
      </c>
      <c r="B38" s="18" t="n">
        <v>0.32</v>
      </c>
      <c r="C38" s="18" t="n">
        <v>0.1</v>
      </c>
    </row>
    <row r="39">
      <c r="A39" s="3" t="inlineStr">
        <is>
          <t>2021-12</t>
        </is>
      </c>
      <c r="B39" s="18" t="n">
        <v>1.17</v>
      </c>
      <c r="C39" s="18" t="n">
        <v>0.15</v>
      </c>
    </row>
    <row r="40">
      <c r="A40" s="3" t="inlineStr">
        <is>
          <t>2022-01</t>
        </is>
      </c>
      <c r="B40" s="18" t="n">
        <v>2.1</v>
      </c>
      <c r="C40" s="18" t="n">
        <v>0.03</v>
      </c>
    </row>
    <row r="41">
      <c r="A41" s="3" t="inlineStr">
        <is>
          <t>2022-02</t>
        </is>
      </c>
      <c r="B41" s="18" t="n">
        <v>2.36</v>
      </c>
      <c r="C41" s="18" t="n">
        <v>0</v>
      </c>
    </row>
    <row r="42">
      <c r="A42" s="3" t="inlineStr">
        <is>
          <t>2022-03</t>
        </is>
      </c>
      <c r="B42" s="18" t="n">
        <v>0.26</v>
      </c>
      <c r="C42" s="18" t="n">
        <v>0.04</v>
      </c>
    </row>
    <row r="43">
      <c r="A43" s="3" t="inlineStr">
        <is>
          <t>2022-04</t>
        </is>
      </c>
      <c r="B43" s="18" t="n">
        <v>7.7</v>
      </c>
      <c r="C43" s="18" t="n">
        <v>0.16</v>
      </c>
    </row>
    <row r="44">
      <c r="A44" s="3" t="inlineStr">
        <is>
          <t>2022-05</t>
        </is>
      </c>
      <c r="B44" s="18" t="n">
        <v>2.9</v>
      </c>
      <c r="C44" s="18" t="n">
        <v>0.15</v>
      </c>
    </row>
    <row r="45">
      <c r="A45" s="3" t="inlineStr">
        <is>
          <t>2022-06</t>
        </is>
      </c>
      <c r="B45" s="18" t="n">
        <v>3.44</v>
      </c>
      <c r="C45" s="18" t="n">
        <v>0.38</v>
      </c>
    </row>
    <row r="46">
      <c r="A46" s="3" t="inlineStr">
        <is>
          <t>2022-07</t>
        </is>
      </c>
      <c r="B46" s="18" t="n">
        <v>0.87</v>
      </c>
      <c r="C46" s="18" t="n">
        <v>0.08</v>
      </c>
    </row>
    <row r="47">
      <c r="A47" s="3" t="inlineStr">
        <is>
          <t>2022-08</t>
        </is>
      </c>
      <c r="B47" s="18" t="n">
        <v>0.49</v>
      </c>
      <c r="C47" s="18" t="n">
        <v>0.13</v>
      </c>
    </row>
    <row r="48">
      <c r="A48" s="3" t="inlineStr">
        <is>
          <t>2022-09</t>
        </is>
      </c>
      <c r="B48" s="18" t="n">
        <v>1.39</v>
      </c>
      <c r="C48" s="18" t="n">
        <v>0.51</v>
      </c>
    </row>
    <row r="49">
      <c r="A49" s="3" t="inlineStr">
        <is>
          <t>2022-10</t>
        </is>
      </c>
      <c r="B49" s="18" t="n">
        <v>0.42</v>
      </c>
      <c r="C49" s="18" t="n">
        <v>0.39</v>
      </c>
    </row>
    <row r="50">
      <c r="A50" s="3" t="inlineStr">
        <is>
          <t>2022-11</t>
        </is>
      </c>
      <c r="B50" s="18" t="n">
        <v>0.92</v>
      </c>
      <c r="C50" s="18" t="n">
        <v>0.23</v>
      </c>
    </row>
    <row r="51">
      <c r="A51" s="3" t="inlineStr">
        <is>
          <t>2022-12</t>
        </is>
      </c>
      <c r="B51" s="18" t="n">
        <v>0.92</v>
      </c>
      <c r="C51" s="18" t="n">
        <v>0.37</v>
      </c>
    </row>
    <row r="52">
      <c r="A52" s="3" t="inlineStr">
        <is>
          <t>2023-01</t>
        </is>
      </c>
      <c r="B52" s="18" t="n">
        <v>2.12</v>
      </c>
      <c r="C52" s="18" t="n">
        <v>0.25</v>
      </c>
    </row>
    <row r="53">
      <c r="A53" s="3" t="inlineStr">
        <is>
          <t>2023-02</t>
        </is>
      </c>
      <c r="B53" s="18" t="n">
        <v>0.88</v>
      </c>
      <c r="C53" s="18" t="n">
        <v>0.33</v>
      </c>
    </row>
    <row r="54">
      <c r="A54" s="3" t="inlineStr">
        <is>
          <t>2023-03</t>
        </is>
      </c>
      <c r="B54" s="18" t="n">
        <v>1.85</v>
      </c>
      <c r="C54" s="18" t="n">
        <v>0.19</v>
      </c>
    </row>
    <row r="55">
      <c r="A55" s="3" t="inlineStr">
        <is>
          <t>2023-04</t>
        </is>
      </c>
      <c r="B55" s="18" t="n">
        <v>2.29</v>
      </c>
      <c r="C55" s="18" t="n">
        <v>0.4</v>
      </c>
    </row>
    <row r="56">
      <c r="A56" s="3" t="inlineStr">
        <is>
          <t>2023-05</t>
        </is>
      </c>
      <c r="B56" s="18" t="n">
        <v>4.45</v>
      </c>
      <c r="C56" s="18" t="n">
        <v>0.65</v>
      </c>
    </row>
    <row r="57">
      <c r="A57" s="3" t="inlineStr">
        <is>
          <t>2023-06</t>
        </is>
      </c>
      <c r="B57" s="18" t="n">
        <v>0.79</v>
      </c>
      <c r="C57" s="18" t="n">
        <v>1.16</v>
      </c>
    </row>
    <row r="58">
      <c r="A58" s="3" t="inlineStr">
        <is>
          <t>2023-07</t>
        </is>
      </c>
      <c r="B58" s="18" t="n">
        <v>1.98</v>
      </c>
      <c r="C58" s="18" t="n">
        <v>0.6899999999999999</v>
      </c>
    </row>
    <row r="59">
      <c r="A59" s="3" t="inlineStr">
        <is>
          <t>2023-08</t>
        </is>
      </c>
      <c r="B59" s="18" t="n">
        <v>1.42</v>
      </c>
      <c r="C59" s="18" t="n">
        <v>0.4</v>
      </c>
    </row>
    <row r="60">
      <c r="A60" s="3" t="inlineStr">
        <is>
          <t>2023-09</t>
        </is>
      </c>
      <c r="B60" s="18" t="n">
        <v>2.29</v>
      </c>
      <c r="C60" s="18" t="n">
        <v>0.65</v>
      </c>
    </row>
    <row r="61">
      <c r="A61" s="3" t="inlineStr">
        <is>
          <t>2023-10</t>
        </is>
      </c>
      <c r="B61" s="18" t="n">
        <v>4.01</v>
      </c>
      <c r="C61" s="18" t="n">
        <v>0.21</v>
      </c>
    </row>
    <row r="62">
      <c r="A62" s="3" t="inlineStr">
        <is>
          <t>2023-11</t>
        </is>
      </c>
      <c r="B62" s="18" t="n">
        <v>3.14</v>
      </c>
      <c r="C62" s="18" t="n">
        <v>0.54</v>
      </c>
    </row>
    <row r="63">
      <c r="A63" s="3" t="inlineStr">
        <is>
          <t>2023-12</t>
        </is>
      </c>
      <c r="B63" s="18" t="n">
        <v>6.56</v>
      </c>
      <c r="C63" s="18" t="n">
        <v>0.59</v>
      </c>
    </row>
    <row r="64">
      <c r="A64" s="3" t="inlineStr">
        <is>
          <t>2024-01</t>
        </is>
      </c>
      <c r="B64" s="18" t="n">
        <v>3.2</v>
      </c>
      <c r="C64" s="18" t="n">
        <v>0.47</v>
      </c>
    </row>
    <row r="65">
      <c r="A65" s="3" t="inlineStr">
        <is>
          <t>2024-02</t>
        </is>
      </c>
      <c r="B65" s="18" t="n">
        <v>1.99</v>
      </c>
      <c r="C65" s="18" t="n">
        <v>0.17</v>
      </c>
    </row>
    <row r="66">
      <c r="A66" s="3" t="inlineStr">
        <is>
          <t>2024-03</t>
        </is>
      </c>
      <c r="B66" s="18" t="n">
        <v>2.67</v>
      </c>
      <c r="C66" s="18" t="n">
        <v>0.39</v>
      </c>
    </row>
    <row r="67">
      <c r="A67" s="3" t="inlineStr">
        <is>
          <t>2024-04</t>
        </is>
      </c>
      <c r="B67" s="18" t="n">
        <v>4.7</v>
      </c>
      <c r="C67" s="18" t="n">
        <v>0.45</v>
      </c>
    </row>
    <row r="68">
      <c r="A68" s="3" t="inlineStr">
        <is>
          <t>2024-05</t>
        </is>
      </c>
      <c r="B68" s="18" t="n">
        <v>3.28</v>
      </c>
      <c r="C68" s="18" t="n">
        <v>0.39</v>
      </c>
    </row>
    <row r="69">
      <c r="A69" s="3" t="inlineStr">
        <is>
          <t>2024-06</t>
        </is>
      </c>
      <c r="B69" s="18" t="n">
        <v>2.66</v>
      </c>
      <c r="C69" s="18" t="n">
        <v>0.84</v>
      </c>
    </row>
    <row r="70">
      <c r="A70" s="3" t="inlineStr">
        <is>
          <t>2024-07</t>
        </is>
      </c>
      <c r="B70" s="18" t="n">
        <v>4.3</v>
      </c>
      <c r="C70" s="18" t="n">
        <v>0.8</v>
      </c>
    </row>
    <row r="71">
      <c r="A71" s="3" t="inlineStr">
        <is>
          <t>2024-08</t>
        </is>
      </c>
      <c r="B71" s="18" t="n">
        <v>2.92</v>
      </c>
      <c r="C71" s="18" t="n">
        <v>0.44</v>
      </c>
    </row>
    <row r="72">
      <c r="A72" s="3" t="inlineStr">
        <is>
          <t>2024-09</t>
        </is>
      </c>
      <c r="B72" s="18" t="n">
        <v>5.7</v>
      </c>
      <c r="C72" s="18" t="n">
        <v>0.43</v>
      </c>
    </row>
    <row r="73">
      <c r="A73" s="3" t="inlineStr">
        <is>
          <t>2024-10</t>
        </is>
      </c>
      <c r="B73" s="18" t="n">
        <v>4.01</v>
      </c>
      <c r="C73" s="18" t="n">
        <v>0.6899999999999999</v>
      </c>
    </row>
    <row r="74">
      <c r="A74" s="3" t="inlineStr">
        <is>
          <t>2024-11</t>
        </is>
      </c>
      <c r="B74" s="18" t="n">
        <v>4.4</v>
      </c>
      <c r="C74" s="18" t="n">
        <v>0.88</v>
      </c>
    </row>
    <row r="75">
      <c r="A75" s="3" t="inlineStr">
        <is>
          <t>2024-12</t>
        </is>
      </c>
      <c r="B75" s="18" t="n">
        <v>5.5</v>
      </c>
      <c r="C75" s="18" t="n">
        <v>0.71</v>
      </c>
    </row>
    <row r="76">
      <c r="A76" s="3" t="inlineStr">
        <is>
          <t>2025-01</t>
        </is>
      </c>
      <c r="B76" s="18" t="n">
        <v>7.3</v>
      </c>
      <c r="C76" s="18" t="n">
        <v>0.74</v>
      </c>
    </row>
    <row r="77">
      <c r="A77" s="3" t="inlineStr">
        <is>
          <t>2025-02</t>
        </is>
      </c>
      <c r="B77" s="18" t="n">
        <v>3.49</v>
      </c>
      <c r="C77" s="18" t="n">
        <v>0.25</v>
      </c>
    </row>
    <row r="78">
      <c r="A78" s="3" t="inlineStr">
        <is>
          <t>2025-03</t>
        </is>
      </c>
      <c r="B78" s="18" t="n">
        <v>3.25</v>
      </c>
      <c r="C78" s="18" t="n">
        <v>0.23</v>
      </c>
    </row>
    <row r="79">
      <c r="A79" s="3" t="inlineStr">
        <is>
          <t>2025-04</t>
        </is>
      </c>
      <c r="B79" s="18" t="n">
        <v>2.9</v>
      </c>
      <c r="C79" s="18" t="n">
        <v>0.26</v>
      </c>
    </row>
    <row r="80">
      <c r="A80" s="3" t="inlineStr">
        <is>
          <t>2025-05</t>
        </is>
      </c>
      <c r="B80" s="18" t="n">
        <v>5.32</v>
      </c>
      <c r="C80" s="18" t="n">
        <v>0.37</v>
      </c>
    </row>
    <row r="81">
      <c r="A81" s="3" t="inlineStr">
        <is>
          <t>2025-06</t>
        </is>
      </c>
      <c r="B81" s="18" t="n">
        <v>4.21</v>
      </c>
      <c r="C81" s="18" t="n">
        <v>0.77</v>
      </c>
    </row>
    <row r="82">
      <c r="A82" s="3" t="inlineStr">
        <is>
          <t>2025-07</t>
        </is>
      </c>
      <c r="B82" s="18" t="n">
        <v>4.79</v>
      </c>
      <c r="C82" s="18" t="n">
        <v>1.17</v>
      </c>
    </row>
    <row r="83">
      <c r="A83" s="3" t="inlineStr">
        <is>
          <t>2025-08</t>
        </is>
      </c>
      <c r="B83" s="18" t="n">
        <v>4.25</v>
      </c>
      <c r="C83" s="18" t="n">
        <v>0.68</v>
      </c>
    </row>
    <row r="84">
      <c r="A84" s="3" t="inlineStr">
        <is>
          <t>2025-09</t>
        </is>
      </c>
      <c r="B84" s="18" t="n">
        <v>6.49</v>
      </c>
      <c r="C84" s="18" t="n">
        <v>0.8</v>
      </c>
    </row>
    <row r="85">
      <c r="A85" s="3" t="inlineStr">
        <is>
          <t>2025-10</t>
        </is>
      </c>
      <c r="B85" s="18" t="n">
        <v>7.98</v>
      </c>
      <c r="C85" s="18" t="n">
        <v>0.5600000000000001</v>
      </c>
    </row>
    <row r="86">
      <c r="A86" s="3" t="inlineStr">
        <is>
          <t>2025-11</t>
        </is>
      </c>
      <c r="B86" s="18" t="n">
        <v>3.17</v>
      </c>
      <c r="C86" s="18" t="n">
        <v>0.64</v>
      </c>
    </row>
    <row r="87">
      <c r="A87" s="3" t="inlineStr">
        <is>
          <t>2025-12</t>
        </is>
      </c>
      <c r="B87" s="18" t="n">
        <v>4.53</v>
      </c>
      <c r="C87" s="18" t="n">
        <v>0.48</v>
      </c>
    </row>
    <row r="88">
      <c r="A88" s="3" t="inlineStr">
        <is>
          <t>2026-01</t>
        </is>
      </c>
      <c r="B88" s="18" t="n">
        <v>8.859999999999999</v>
      </c>
      <c r="C88" s="18" t="n">
        <v>0.86</v>
      </c>
    </row>
    <row r="89">
      <c r="A89" s="3" t="inlineStr">
        <is>
          <t>2026-02</t>
        </is>
      </c>
      <c r="B89" s="18" t="n">
        <v>3.68</v>
      </c>
      <c r="C89" s="18" t="n">
        <v>0.78</v>
      </c>
    </row>
    <row r="90">
      <c r="A90" s="3" t="inlineStr">
        <is>
          <t>2026-03</t>
        </is>
      </c>
      <c r="B90" s="18" t="n">
        <v>3.52</v>
      </c>
      <c r="C90" s="18" t="n">
        <v>0.52</v>
      </c>
    </row>
    <row r="91">
      <c r="A91" s="3" t="inlineStr">
        <is>
          <t>2026-04</t>
        </is>
      </c>
      <c r="B91" s="18" t="n">
        <v>1.73</v>
      </c>
      <c r="C91" s="18" t="n">
        <v>0.8</v>
      </c>
    </row>
    <row r="92">
      <c r="A92" s="3" t="inlineStr">
        <is>
          <t>2026-05</t>
        </is>
      </c>
      <c r="B92" s="18" t="n">
        <v>2.16</v>
      </c>
      <c r="C92" s="18" t="n">
        <v>0.74</v>
      </c>
    </row>
    <row r="93">
      <c r="A93" s="3" t="inlineStr">
        <is>
          <t>2026-06</t>
        </is>
      </c>
      <c r="B93" s="18" t="n">
        <v>1.63</v>
      </c>
      <c r="C93" s="18" t="n">
        <v>0.73</v>
      </c>
    </row>
    <row r="94">
      <c r="A94" s="3" t="inlineStr">
        <is>
          <t>2026-07</t>
        </is>
      </c>
      <c r="B94" s="18" t="n">
        <v>1.17</v>
      </c>
      <c r="C94" s="18" t="n">
        <v>0.36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2026-09-16T10:30:47Z</dcterms:created>
  <dcterms:modified xmlns:dcterms="http://purl.org/dc/terms/" xmlns:xsi="http://www.w3.org/2001/XMLSchema-instance" xsi:type="dcterms:W3CDTF">2026-09-16T10:30:47Z</dcterms:modified>
</cp:coreProperties>
</file>